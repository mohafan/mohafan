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mohafan\"/>
    </mc:Choice>
  </mc:AlternateContent>
  <xr:revisionPtr revIDLastSave="0" documentId="13_ncr:1_{17AF80B6-69B2-4CBE-8338-4CC37201C316}" xr6:coauthVersionLast="47" xr6:coauthVersionMax="47" xr10:uidLastSave="{00000000-0000-0000-0000-000000000000}"/>
  <bookViews>
    <workbookView xWindow="-120" yWindow="-120" windowWidth="20730" windowHeight="11160" activeTab="1" xr2:uid="{77CE0EAE-BEB2-4E28-839F-71F1AC70280C}"/>
  </bookViews>
  <sheets>
    <sheet name="Sheet1" sheetId="1" r:id="rId1"/>
    <sheet name="Distance" sheetId="2" r:id="rId2"/>
    <sheet name="Find&amp;Search" sheetId="3" r:id="rId3"/>
  </sheets>
  <functionGroups builtInGroupCount="19"/>
  <definedNames>
    <definedName name="filename">'Find&amp;Search'!$B$6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" i="2" l="1"/>
  <c r="L31" i="2" s="1"/>
  <c r="C55" i="3"/>
  <c r="F46" i="3"/>
  <c r="B39" i="3"/>
  <c r="G21" i="3"/>
  <c r="G20" i="3"/>
  <c r="F13" i="3"/>
  <c r="D7" i="3"/>
  <c r="D6" i="3"/>
  <c r="E10" i="1"/>
  <c r="F10" i="1"/>
  <c r="G10" i="1"/>
  <c r="H10" i="1"/>
  <c r="I10" i="1"/>
  <c r="J10" i="1"/>
  <c r="D10" i="1"/>
  <c r="K16" i="1"/>
  <c r="K17" i="1"/>
  <c r="K14" i="1"/>
  <c r="K18" i="1"/>
  <c r="L56" i="1"/>
  <c r="C15" i="2"/>
  <c r="K13" i="1"/>
  <c r="L54" i="1"/>
  <c r="C13" i="2"/>
  <c r="C9" i="2"/>
  <c r="C5" i="2"/>
  <c r="K15" i="1"/>
  <c r="C29" i="2"/>
  <c r="C32" i="2"/>
  <c r="C21" i="2"/>
  <c r="C24" i="2"/>
  <c r="C34" i="3"/>
  <c r="C31" i="3"/>
  <c r="C33" i="3"/>
  <c r="C35" i="3"/>
  <c r="C32" i="3"/>
  <c r="C40" i="2" l="1"/>
  <c r="C41" i="2" s="1"/>
  <c r="C42" i="2" s="1"/>
  <c r="E42" i="2" s="1"/>
  <c r="C37" i="2"/>
  <c r="L29" i="2"/>
  <c r="L30" i="2"/>
  <c r="N29" i="2"/>
  <c r="N60" i="1"/>
  <c r="N59" i="1"/>
  <c r="N58" i="1"/>
  <c r="N55" i="1"/>
  <c r="N54" i="1"/>
  <c r="P55" i="1" s="1"/>
  <c r="G22" i="3"/>
  <c r="G13" i="2"/>
  <c r="C35" i="2"/>
  <c r="C27" i="2"/>
  <c r="E13" i="2"/>
  <c r="E15" i="2"/>
  <c r="N56" i="1"/>
  <c r="C30" i="2"/>
  <c r="C33" i="2"/>
  <c r="C34" i="2" s="1"/>
  <c r="E34" i="2" s="1"/>
  <c r="C25" i="2"/>
  <c r="C26" i="2" s="1"/>
  <c r="E26" i="2" s="1"/>
  <c r="C22" i="2"/>
  <c r="C44" i="2" l="1"/>
  <c r="C3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6" authorId="0" shapeId="0" xr:uid="{94BF9F0B-EE27-440A-87DF-1B322A0CB2ED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https://drive.google.com/file/d/1zfrQmKDxTN4R1DPKcyKWmb3y-zYQ-IQ9/view</t>
        </r>
      </text>
    </comment>
    <comment ref="B17" authorId="0" shapeId="0" xr:uid="{FEDE3D76-66E0-40F4-9EE3-A59C2356A8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https://syntaxbytetutorials.com/excel-function-to-calculate-distance-using-google-maps-api-with-vba/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55" authorId="0" shapeId="0" xr:uid="{6320A889-DDAB-444F-B75C-F545496B0E1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sehingga 3,999</t>
        </r>
      </text>
    </comment>
  </commentList>
</comments>
</file>

<file path=xl/sharedStrings.xml><?xml version="1.0" encoding="utf-8"?>
<sst xmlns="http://schemas.openxmlformats.org/spreadsheetml/2006/main" count="203" uniqueCount="141">
  <si>
    <t>Select Row</t>
  </si>
  <si>
    <t>Fred Calderon</t>
  </si>
  <si>
    <t>1248 Sandstone Ave.</t>
  </si>
  <si>
    <t>Santa Monica</t>
  </si>
  <si>
    <t>NV</t>
  </si>
  <si>
    <t>Fred@gmail.com</t>
  </si>
  <si>
    <t>david@gmail.com</t>
  </si>
  <si>
    <t>doris@gmail.com</t>
  </si>
  <si>
    <t>CA</t>
  </si>
  <si>
    <t>Los Angeles</t>
  </si>
  <si>
    <t>San Diego</t>
  </si>
  <si>
    <t>45591 Venture Blvd.</t>
  </si>
  <si>
    <t>45414 Maple St.</t>
  </si>
  <si>
    <t>Jimmy Johnson</t>
  </si>
  <si>
    <t>Doris Lassiter</t>
  </si>
  <si>
    <t>David Freeders</t>
  </si>
  <si>
    <t>12983 Part Street</t>
  </si>
  <si>
    <t>Sacramento</t>
  </si>
  <si>
    <t>Jimmy@gmail.com</t>
  </si>
  <si>
    <t>Contact Load</t>
  </si>
  <si>
    <t>Picture:</t>
  </si>
  <si>
    <t>Contact Name</t>
  </si>
  <si>
    <t>E5</t>
  </si>
  <si>
    <t>H5</t>
  </si>
  <si>
    <t>Adress:</t>
  </si>
  <si>
    <t>Address</t>
  </si>
  <si>
    <t>City</t>
  </si>
  <si>
    <t>State</t>
  </si>
  <si>
    <t>Email</t>
  </si>
  <si>
    <t>Phone#</t>
  </si>
  <si>
    <t>Picture</t>
  </si>
  <si>
    <t>City:</t>
  </si>
  <si>
    <t>E7</t>
  </si>
  <si>
    <t>Phone #:</t>
  </si>
  <si>
    <t>H7</t>
  </si>
  <si>
    <t>State:</t>
  </si>
  <si>
    <t>Email:</t>
  </si>
  <si>
    <t>H9</t>
  </si>
  <si>
    <t>E9</t>
  </si>
  <si>
    <t>M4</t>
  </si>
  <si>
    <t>New Cont</t>
  </si>
  <si>
    <t>Contact Name:</t>
  </si>
  <si>
    <t>C:\Users\user\Pictures\IMG20210702151227.jpg</t>
  </si>
  <si>
    <t>Mohafan</t>
  </si>
  <si>
    <t>C:\Users\user\Pictures\IMG20210702142705.jpg</t>
  </si>
  <si>
    <t>Shah Alam</t>
  </si>
  <si>
    <t>012 6716525</t>
  </si>
  <si>
    <t>Address:</t>
  </si>
  <si>
    <t>46, Jalan Pekerti 25/133</t>
  </si>
  <si>
    <t>Selangor</t>
  </si>
  <si>
    <t>mohafan@gmail.com</t>
  </si>
  <si>
    <t>C:\Users\user\Pictures\IMG20210702150758.jpg</t>
  </si>
  <si>
    <t>CONTACT MANAGER</t>
  </si>
  <si>
    <t xml:space="preserve"> </t>
  </si>
  <si>
    <t>C:\Users\user\Pictures\IMG20210702151919.jpg</t>
  </si>
  <si>
    <t>Qiesya</t>
  </si>
  <si>
    <t>Aqczo0OGSEdLZ7TP31VEypujKnMoWmr0UzTLBNhvbZEs4jQ5AAn7Tu8EBT5KaeHn</t>
  </si>
  <si>
    <t>BingMapsKey</t>
  </si>
  <si>
    <t>15.299, 74.124</t>
  </si>
  <si>
    <t>25.59, 85.137</t>
  </si>
  <si>
    <t>3.019454, 101.528754</t>
  </si>
  <si>
    <t>km</t>
  </si>
  <si>
    <t>From</t>
  </si>
  <si>
    <t>To</t>
  </si>
  <si>
    <t>3.103569, 101.638718</t>
  </si>
  <si>
    <t>Jalan Pekerti 25/133, Shah Alam</t>
  </si>
  <si>
    <t>TNB 2 Sentral, Kuala Lumpur</t>
  </si>
  <si>
    <t>AIzaSyAzXqy3YO7dGw6nEj-jfzYPUh7QSOQC0eM</t>
  </si>
  <si>
    <t>GoogleMapsKey</t>
  </si>
  <si>
    <t>Origin:</t>
  </si>
  <si>
    <t>Destination:</t>
  </si>
  <si>
    <t>minit</t>
  </si>
  <si>
    <t>TNB Prai Power Station</t>
  </si>
  <si>
    <t>jam</t>
  </si>
  <si>
    <t>Masa perjalanan:</t>
  </si>
  <si>
    <t>Jarak perjalanan:</t>
  </si>
  <si>
    <t>m</t>
  </si>
  <si>
    <t>Origin</t>
  </si>
  <si>
    <t>Destination</t>
  </si>
  <si>
    <t>s</t>
  </si>
  <si>
    <t>Google maps API Keys:</t>
  </si>
  <si>
    <t>https://bing.com/maps</t>
  </si>
  <si>
    <t>[A]</t>
  </si>
  <si>
    <t>[B]</t>
  </si>
  <si>
    <t>[A] -&gt; [B]</t>
  </si>
  <si>
    <t>[B] -&gt; [A]</t>
  </si>
  <si>
    <t>https://maps.google.com/</t>
  </si>
  <si>
    <t>3.019475646319271, 101.52877410591697</t>
  </si>
  <si>
    <t>Invoice 2020.12.31.docx</t>
  </si>
  <si>
    <t>°</t>
  </si>
  <si>
    <t>How to create a To-Do list in Excel</t>
  </si>
  <si>
    <t>To-Do items</t>
  </si>
  <si>
    <t>Status</t>
  </si>
  <si>
    <t>Helper</t>
  </si>
  <si>
    <t>Bench press</t>
  </si>
  <si>
    <t>Triceps dip</t>
  </si>
  <si>
    <t>Incline dumbbell press</t>
  </si>
  <si>
    <t>Incline dumbbell fly</t>
  </si>
  <si>
    <t>Triceps extension</t>
  </si>
  <si>
    <t>Pull-up</t>
  </si>
  <si>
    <t>Bent-over row</t>
  </si>
  <si>
    <t>All item</t>
  </si>
  <si>
    <t>Completed Items</t>
  </si>
  <si>
    <t>Ratio</t>
  </si>
  <si>
    <t>Sheet Name</t>
  </si>
  <si>
    <t>Does exist?</t>
  </si>
  <si>
    <t>Sheet1</t>
  </si>
  <si>
    <t>Sheet2</t>
  </si>
  <si>
    <t>Sheet3</t>
  </si>
  <si>
    <t>Sheet4</t>
  </si>
  <si>
    <t>Sheet5</t>
  </si>
  <si>
    <t>Directory</t>
  </si>
  <si>
    <t>Men's Sizes Chart</t>
  </si>
  <si>
    <t>Chest Measure (in)</t>
  </si>
  <si>
    <t>Size</t>
  </si>
  <si>
    <t>XS</t>
  </si>
  <si>
    <t>S</t>
  </si>
  <si>
    <t>M</t>
  </si>
  <si>
    <t>L</t>
  </si>
  <si>
    <t>XL</t>
  </si>
  <si>
    <t>XXL</t>
  </si>
  <si>
    <t>32-35</t>
  </si>
  <si>
    <t>36-38</t>
  </si>
  <si>
    <t>39-41</t>
  </si>
  <si>
    <t>42-45</t>
  </si>
  <si>
    <t>46-49</t>
  </si>
  <si>
    <t>50-53</t>
  </si>
  <si>
    <t>Your Measure</t>
  </si>
  <si>
    <t>Your Size</t>
  </si>
  <si>
    <t>Roman</t>
  </si>
  <si>
    <t>Arabic</t>
  </si>
  <si>
    <t>Sekolah Kebangsaan Bukit Bandaraya, Bangsar</t>
  </si>
  <si>
    <t>Travel Distance</t>
  </si>
  <si>
    <t>Travel Time</t>
  </si>
  <si>
    <t>Bing Maps from Microsoft</t>
  </si>
  <si>
    <t>Google Maps by Google</t>
  </si>
  <si>
    <t>Total Distance</t>
  </si>
  <si>
    <t>Total Time</t>
  </si>
  <si>
    <t>km/j</t>
  </si>
  <si>
    <t>Purata kelajuan</t>
  </si>
  <si>
    <t>AEON Maluri, Cheras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</si>
</sst>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Impact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Calibri"/>
      <family val="2"/>
    </font>
    <font>
      <b/>
      <sz val="16"/>
      <color theme="4" tint="-0.499984740745262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3366FF"/>
      <name val="Arial"/>
      <family val="2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5" tint="-0.499984740745262"/>
      <name val="Arial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8" tint="0.3999755851924192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" fillId="0" borderId="0" xfId="1" applyFill="1" applyBorder="1"/>
    <xf numFmtId="0" fontId="1" fillId="0" borderId="0" xfId="1" applyBorder="1"/>
    <xf numFmtId="0" fontId="1" fillId="0" borderId="3" xfId="1" applyBorder="1"/>
    <xf numFmtId="0" fontId="0" fillId="0" borderId="1" xfId="0" applyBorder="1"/>
    <xf numFmtId="0" fontId="3" fillId="2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1" fillId="0" borderId="1" xfId="1" applyNumberFormat="1" applyBorder="1"/>
    <xf numFmtId="0" fontId="6" fillId="0" borderId="0" xfId="0" applyFont="1"/>
    <xf numFmtId="0" fontId="1" fillId="0" borderId="0" xfId="1"/>
    <xf numFmtId="0" fontId="0" fillId="0" borderId="0" xfId="0" applyAlignment="1">
      <alignment horizontal="right"/>
    </xf>
    <xf numFmtId="0" fontId="0" fillId="3" borderId="0" xfId="0" applyFill="1"/>
    <xf numFmtId="0" fontId="7" fillId="0" borderId="0" xfId="0" applyFont="1"/>
    <xf numFmtId="0" fontId="5" fillId="0" borderId="0" xfId="0" applyFont="1"/>
    <xf numFmtId="0" fontId="0" fillId="0" borderId="10" xfId="0" applyBorder="1"/>
    <xf numFmtId="0" fontId="0" fillId="4" borderId="1" xfId="0" applyFill="1" applyBorder="1"/>
    <xf numFmtId="0" fontId="5" fillId="4" borderId="1" xfId="0" applyFont="1" applyFill="1" applyBorder="1"/>
    <xf numFmtId="0" fontId="8" fillId="0" borderId="10" xfId="0" applyFont="1" applyBorder="1"/>
    <xf numFmtId="0" fontId="5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4" borderId="11" xfId="0" applyFont="1" applyFill="1" applyBorder="1"/>
    <xf numFmtId="164" fontId="9" fillId="4" borderId="11" xfId="2" applyNumberFormat="1" applyFont="1" applyFill="1" applyBorder="1"/>
    <xf numFmtId="0" fontId="11" fillId="0" borderId="0" xfId="0" applyFont="1"/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/>
    <xf numFmtId="0" fontId="5" fillId="5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15" fillId="0" borderId="0" xfId="0" applyFont="1"/>
    <xf numFmtId="0" fontId="16" fillId="6" borderId="0" xfId="0" applyFont="1" applyFill="1"/>
    <xf numFmtId="0" fontId="17" fillId="7" borderId="0" xfId="0" applyFont="1" applyFill="1"/>
    <xf numFmtId="0" fontId="18" fillId="0" borderId="0" xfId="0" applyFont="1"/>
    <xf numFmtId="0" fontId="19" fillId="0" borderId="0" xfId="0" applyFont="1"/>
    <xf numFmtId="0" fontId="0" fillId="0" borderId="0" xfId="0" applyFont="1"/>
    <xf numFmtId="0" fontId="0" fillId="0" borderId="0" xfId="0" applyFont="1" applyAlignment="1">
      <alignment horizontal="right"/>
    </xf>
    <xf numFmtId="14" fontId="0" fillId="0" borderId="0" xfId="0" applyNumberFormat="1"/>
    <xf numFmtId="0" fontId="19" fillId="0" borderId="0" xfId="0" applyFont="1" applyAlignment="1">
      <alignment horizontal="right"/>
    </xf>
    <xf numFmtId="0" fontId="2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8">
    <dxf>
      <font>
        <strike/>
        <color theme="0" tint="-0.24994659260841701"/>
      </font>
    </dxf>
    <dxf>
      <font>
        <strike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rgb="FF7030A0"/>
      </font>
      <fill>
        <patternFill>
          <bgColor theme="5" tint="0.79998168889431442"/>
        </patternFill>
      </fill>
    </dxf>
    <dxf>
      <font>
        <b/>
        <i val="0"/>
        <strike val="0"/>
        <color rgb="FF0070C0"/>
      </font>
      <fill>
        <patternFill>
          <bgColor theme="8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gradientFill degree="90">
          <stop position="0">
            <color theme="4" tint="-0.49803155613879818"/>
          </stop>
          <stop position="1">
            <color theme="4"/>
          </stop>
        </gradient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D$19" lockText="1" noThreeD="1"/>
</file>

<file path=xl/ctrlProps/ctrlProp2.xml><?xml version="1.0" encoding="utf-8"?>
<formControlPr xmlns="http://schemas.microsoft.com/office/spreadsheetml/2009/9/main" objectType="CheckBox" checked="Checked" fmlaLink="$D$20" lockText="1" noThreeD="1"/>
</file>

<file path=xl/ctrlProps/ctrlProp3.xml><?xml version="1.0" encoding="utf-8"?>
<formControlPr xmlns="http://schemas.microsoft.com/office/spreadsheetml/2009/9/main" objectType="CheckBox" fmlaLink="$D$21" lockText="1" noThreeD="1"/>
</file>

<file path=xl/ctrlProps/ctrlProp4.xml><?xml version="1.0" encoding="utf-8"?>
<formControlPr xmlns="http://schemas.microsoft.com/office/spreadsheetml/2009/9/main" objectType="CheckBox" checked="Checked" fmlaLink="$D$22" lockText="1" noThreeD="1"/>
</file>

<file path=xl/ctrlProps/ctrlProp5.xml><?xml version="1.0" encoding="utf-8"?>
<formControlPr xmlns="http://schemas.microsoft.com/office/spreadsheetml/2009/9/main" objectType="CheckBox" checked="Checked" fmlaLink="$D$23" lockText="1" noThreeD="1"/>
</file>

<file path=xl/ctrlProps/ctrlProp6.xml><?xml version="1.0" encoding="utf-8"?>
<formControlPr xmlns="http://schemas.microsoft.com/office/spreadsheetml/2009/9/main" objectType="CheckBox" fmlaLink="$D$24" lockText="1" noThreeD="1"/>
</file>

<file path=xl/ctrlProps/ctrlProp7.xml><?xml version="1.0" encoding="utf-8"?>
<formControlPr xmlns="http://schemas.microsoft.com/office/spreadsheetml/2009/9/main" objectType="CheckBox" checked="Checked" fmlaLink="$D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user\Pictures\IMG20210702142705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495299</xdr:colOff>
      <xdr:row>2</xdr:row>
      <xdr:rowOff>27383</xdr:rowOff>
    </xdr:from>
    <xdr:to>
      <xdr:col>5</xdr:col>
      <xdr:colOff>390524</xdr:colOff>
      <xdr:row>3</xdr:row>
      <xdr:rowOff>74627</xdr:rowOff>
    </xdr:to>
    <xdr:grpSp>
      <xdr:nvGrpSpPr>
        <xdr:cNvPr id="7" name="NewContGr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400174" y="656033"/>
          <a:ext cx="3209925" cy="237744"/>
          <a:chOff x="2524124" y="166687"/>
          <a:chExt cx="3209925" cy="237744"/>
        </a:xfrm>
      </xdr:grpSpPr>
      <xdr:sp macro="[0]!Cont_Save" textlink="">
        <xdr:nvSpPr>
          <xdr:cNvPr id="2" name="Rectangle: Rounded Corners 1" hidden="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524124" y="166687"/>
            <a:ext cx="1371600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Save Contact</a:t>
            </a:r>
          </a:p>
        </xdr:txBody>
      </xdr:sp>
      <xdr:sp macro="[0]!Cont_CancelNew" textlink="">
        <xdr:nvSpPr>
          <xdr:cNvPr id="3" name="Rectangle: Rounded Corners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362449" y="166687"/>
            <a:ext cx="1371600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Cancel New</a:t>
            </a:r>
          </a:p>
        </xdr:txBody>
      </xdr:sp>
    </xdr:grpSp>
    <xdr:clientData/>
  </xdr:twoCellAnchor>
  <xdr:twoCellAnchor editAs="oneCell">
    <xdr:from>
      <xdr:col>2</xdr:col>
      <xdr:colOff>581024</xdr:colOff>
      <xdr:row>2</xdr:row>
      <xdr:rowOff>27383</xdr:rowOff>
    </xdr:from>
    <xdr:to>
      <xdr:col>5</xdr:col>
      <xdr:colOff>114299</xdr:colOff>
      <xdr:row>3</xdr:row>
      <xdr:rowOff>74627</xdr:rowOff>
    </xdr:to>
    <xdr:grpSp>
      <xdr:nvGrpSpPr>
        <xdr:cNvPr id="8" name="ExistContGrp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400174" y="656033"/>
          <a:ext cx="2933700" cy="237744"/>
          <a:chOff x="2581274" y="838200"/>
          <a:chExt cx="2933700" cy="237744"/>
        </a:xfrm>
      </xdr:grpSpPr>
      <xdr:sp macro="[0]!Cont_New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581274" y="838200"/>
            <a:ext cx="1371600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 New Contact</a:t>
            </a:r>
          </a:p>
        </xdr:txBody>
      </xdr:sp>
      <xdr:sp macro="[0]!Cont_Delet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143374" y="838200"/>
            <a:ext cx="1371600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Delete Contact</a:t>
            </a:r>
          </a:p>
        </xdr:txBody>
      </xdr:sp>
    </xdr:grpSp>
    <xdr:clientData/>
  </xdr:twoCellAnchor>
  <xdr:twoCellAnchor editAs="oneCell">
    <xdr:from>
      <xdr:col>8</xdr:col>
      <xdr:colOff>123824</xdr:colOff>
      <xdr:row>2</xdr:row>
      <xdr:rowOff>27383</xdr:rowOff>
    </xdr:from>
    <xdr:to>
      <xdr:col>9</xdr:col>
      <xdr:colOff>761999</xdr:colOff>
      <xdr:row>3</xdr:row>
      <xdr:rowOff>74627</xdr:rowOff>
    </xdr:to>
    <xdr:sp macro="[0]!Cont_AttachThu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48499" y="408383"/>
          <a:ext cx="1371600" cy="23774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Add ID Picture</a:t>
          </a:r>
        </a:p>
      </xdr:txBody>
    </xdr:sp>
    <xdr:clientData/>
  </xdr:twoCellAnchor>
  <xdr:twoCellAnchor editAs="oneCell">
    <xdr:from>
      <xdr:col>8</xdr:col>
      <xdr:colOff>415925</xdr:colOff>
      <xdr:row>3</xdr:row>
      <xdr:rowOff>127000</xdr:rowOff>
    </xdr:from>
    <xdr:to>
      <xdr:col>9</xdr:col>
      <xdr:colOff>492258</xdr:colOff>
      <xdr:row>9</xdr:row>
      <xdr:rowOff>63500</xdr:rowOff>
    </xdr:to>
    <xdr:pic>
      <xdr:nvPicPr>
        <xdr:cNvPr id="572" name="ThumbPic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59675" y="946150"/>
          <a:ext cx="809758" cy="1079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17</xdr:row>
          <xdr:rowOff>180975</xdr:rowOff>
        </xdr:from>
        <xdr:to>
          <xdr:col>2</xdr:col>
          <xdr:colOff>561975</xdr:colOff>
          <xdr:row>19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18</xdr:row>
          <xdr:rowOff>161925</xdr:rowOff>
        </xdr:from>
        <xdr:to>
          <xdr:col>2</xdr:col>
          <xdr:colOff>647700</xdr:colOff>
          <xdr:row>20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19</xdr:row>
          <xdr:rowOff>171450</xdr:rowOff>
        </xdr:from>
        <xdr:to>
          <xdr:col>2</xdr:col>
          <xdr:colOff>647700</xdr:colOff>
          <xdr:row>21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20</xdr:row>
          <xdr:rowOff>171450</xdr:rowOff>
        </xdr:from>
        <xdr:to>
          <xdr:col>2</xdr:col>
          <xdr:colOff>647700</xdr:colOff>
          <xdr:row>22</xdr:row>
          <xdr:rowOff>9525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21</xdr:row>
          <xdr:rowOff>171450</xdr:rowOff>
        </xdr:from>
        <xdr:to>
          <xdr:col>2</xdr:col>
          <xdr:colOff>647700</xdr:colOff>
          <xdr:row>23</xdr:row>
          <xdr:rowOff>9525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647700</xdr:colOff>
          <xdr:row>24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23</xdr:row>
          <xdr:rowOff>180975</xdr:rowOff>
        </xdr:from>
        <xdr:to>
          <xdr:col>2</xdr:col>
          <xdr:colOff>647700</xdr:colOff>
          <xdr:row>25</xdr:row>
          <xdr:rowOff>19050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doris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Jimmy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maps.google.com/" TargetMode="External"/><Relationship Id="rId1" Type="http://schemas.openxmlformats.org/officeDocument/2006/relationships/hyperlink" Target="https://bing.com/map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10549-579F-4627-AC8E-C23AE83E08BA}">
  <sheetPr codeName="Sheet1"/>
  <dimension ref="A1:P60"/>
  <sheetViews>
    <sheetView topLeftCell="J7" workbookViewId="0">
      <selection activeCell="L13" sqref="L13"/>
    </sheetView>
  </sheetViews>
  <sheetFormatPr defaultRowHeight="15" x14ac:dyDescent="0.25"/>
  <cols>
    <col min="1" max="1" width="12.28515625" bestFit="1" customWidth="1"/>
    <col min="2" max="2" width="6.140625" bestFit="1" customWidth="1"/>
    <col min="3" max="3" width="2.5703125" customWidth="1"/>
    <col min="4" max="4" width="16.85546875" bestFit="1" customWidth="1"/>
    <col min="5" max="5" width="25.42578125" customWidth="1"/>
    <col min="6" max="6" width="12.85546875" bestFit="1" customWidth="1"/>
    <col min="8" max="8" width="21.85546875" customWidth="1"/>
    <col min="9" max="9" width="11" bestFit="1" customWidth="1"/>
    <col min="10" max="10" width="17.28515625" customWidth="1"/>
    <col min="11" max="11" width="21.42578125" customWidth="1"/>
    <col min="14" max="14" width="10.28515625" customWidth="1"/>
  </cols>
  <sheetData>
    <row r="1" spans="1:16" ht="34.5" x14ac:dyDescent="0.45">
      <c r="D1" s="49" t="s">
        <v>52</v>
      </c>
      <c r="E1" s="49"/>
      <c r="F1" s="49"/>
      <c r="G1" s="49"/>
      <c r="H1" s="49"/>
      <c r="I1" s="49"/>
      <c r="J1" s="49"/>
    </row>
    <row r="2" spans="1:16" x14ac:dyDescent="0.25">
      <c r="A2" t="s">
        <v>0</v>
      </c>
      <c r="B2" s="1">
        <v>13</v>
      </c>
    </row>
    <row r="3" spans="1:16" x14ac:dyDescent="0.25">
      <c r="A3" t="s">
        <v>40</v>
      </c>
      <c r="B3" t="b">
        <v>0</v>
      </c>
    </row>
    <row r="4" spans="1:16" x14ac:dyDescent="0.25">
      <c r="A4" t="s">
        <v>19</v>
      </c>
      <c r="B4" t="b">
        <v>0</v>
      </c>
      <c r="L4" t="s">
        <v>20</v>
      </c>
      <c r="M4" t="s">
        <v>44</v>
      </c>
    </row>
    <row r="5" spans="1:16" x14ac:dyDescent="0.25">
      <c r="D5" t="s">
        <v>41</v>
      </c>
      <c r="E5" s="15" t="s">
        <v>14</v>
      </c>
      <c r="G5" t="s">
        <v>47</v>
      </c>
      <c r="H5" s="15" t="s">
        <v>11</v>
      </c>
      <c r="L5" t="s">
        <v>21</v>
      </c>
      <c r="M5">
        <v>4</v>
      </c>
      <c r="O5" t="s">
        <v>24</v>
      </c>
      <c r="P5">
        <v>5</v>
      </c>
    </row>
    <row r="7" spans="1:16" x14ac:dyDescent="0.25">
      <c r="D7" t="s">
        <v>31</v>
      </c>
      <c r="E7" s="15" t="s">
        <v>9</v>
      </c>
      <c r="G7" t="s">
        <v>35</v>
      </c>
      <c r="H7" s="15" t="s">
        <v>8</v>
      </c>
      <c r="L7" t="s">
        <v>31</v>
      </c>
      <c r="M7">
        <v>6</v>
      </c>
      <c r="O7" t="s">
        <v>35</v>
      </c>
      <c r="P7">
        <v>7</v>
      </c>
    </row>
    <row r="9" spans="1:16" x14ac:dyDescent="0.25">
      <c r="D9" t="s">
        <v>33</v>
      </c>
      <c r="E9" s="17">
        <v>3108054545</v>
      </c>
      <c r="G9" t="s">
        <v>36</v>
      </c>
      <c r="H9" s="18" t="s">
        <v>7</v>
      </c>
      <c r="K9" s="15"/>
      <c r="L9" t="s">
        <v>33</v>
      </c>
      <c r="M9">
        <v>9</v>
      </c>
      <c r="O9" t="s">
        <v>36</v>
      </c>
      <c r="P9">
        <v>8</v>
      </c>
    </row>
    <row r="10" spans="1:16" ht="29.25" customHeight="1" x14ac:dyDescent="0.25">
      <c r="D10">
        <f>COLUMN()</f>
        <v>4</v>
      </c>
      <c r="E10">
        <f>COLUMN()</f>
        <v>5</v>
      </c>
      <c r="F10">
        <f>COLUMN()</f>
        <v>6</v>
      </c>
      <c r="G10">
        <f>COLUMN()</f>
        <v>7</v>
      </c>
      <c r="H10">
        <f>COLUMN()</f>
        <v>8</v>
      </c>
      <c r="I10">
        <f>COLUMN()</f>
        <v>9</v>
      </c>
      <c r="J10">
        <f>COLUMN()</f>
        <v>10</v>
      </c>
    </row>
    <row r="11" spans="1:16" x14ac:dyDescent="0.25">
      <c r="D11" t="s">
        <v>22</v>
      </c>
      <c r="E11" t="s">
        <v>23</v>
      </c>
      <c r="F11" t="s">
        <v>32</v>
      </c>
      <c r="G11" t="s">
        <v>34</v>
      </c>
      <c r="H11" t="s">
        <v>37</v>
      </c>
      <c r="I11" t="s">
        <v>38</v>
      </c>
      <c r="J11" t="s">
        <v>39</v>
      </c>
    </row>
    <row r="12" spans="1:16" x14ac:dyDescent="0.25">
      <c r="D12" s="16" t="s">
        <v>21</v>
      </c>
      <c r="E12" s="16" t="s">
        <v>25</v>
      </c>
      <c r="F12" s="16" t="s">
        <v>26</v>
      </c>
      <c r="G12" s="16" t="s">
        <v>27</v>
      </c>
      <c r="H12" s="16" t="s">
        <v>28</v>
      </c>
      <c r="I12" s="16" t="s">
        <v>29</v>
      </c>
      <c r="J12" s="16" t="s">
        <v>30</v>
      </c>
      <c r="K12" t="s">
        <v>53</v>
      </c>
      <c r="L12" s="16" t="s">
        <v>111</v>
      </c>
    </row>
    <row r="13" spans="1:16" x14ac:dyDescent="0.25">
      <c r="D13" s="2" t="s">
        <v>14</v>
      </c>
      <c r="E13" s="3" t="s">
        <v>11</v>
      </c>
      <c r="F13" s="3" t="s">
        <v>9</v>
      </c>
      <c r="G13" s="3" t="s">
        <v>8</v>
      </c>
      <c r="H13" s="14" t="s">
        <v>7</v>
      </c>
      <c r="I13" s="3">
        <v>3108054545</v>
      </c>
      <c r="J13" s="4" t="s">
        <v>44</v>
      </c>
      <c r="K13" t="str">
        <f>GetFileNameFromPath_FSO(J13)</f>
        <v>IMG20210702142705.jpg</v>
      </c>
    </row>
    <row r="14" spans="1:16" x14ac:dyDescent="0.25">
      <c r="D14" s="5" t="s">
        <v>13</v>
      </c>
      <c r="E14" s="6" t="s">
        <v>12</v>
      </c>
      <c r="F14" s="6" t="s">
        <v>10</v>
      </c>
      <c r="G14" s="6" t="s">
        <v>8</v>
      </c>
      <c r="H14" s="13" t="s">
        <v>6</v>
      </c>
      <c r="I14" s="6">
        <v>4541541545</v>
      </c>
      <c r="J14" s="7" t="s">
        <v>51</v>
      </c>
      <c r="K14" t="str">
        <f t="shared" ref="K14:K18" si="0">GetFileNameFromPath_FSO(J14)</f>
        <v>IMG20210702150758.jpg</v>
      </c>
    </row>
    <row r="15" spans="1:16" x14ac:dyDescent="0.25">
      <c r="D15" s="5" t="s">
        <v>1</v>
      </c>
      <c r="E15" s="6" t="s">
        <v>2</v>
      </c>
      <c r="F15" s="6" t="s">
        <v>3</v>
      </c>
      <c r="G15" s="11" t="s">
        <v>4</v>
      </c>
      <c r="H15" s="12" t="s">
        <v>5</v>
      </c>
      <c r="I15" s="11">
        <v>4845785478</v>
      </c>
      <c r="J15" s="7" t="s">
        <v>42</v>
      </c>
      <c r="K15" t="str">
        <f t="shared" si="0"/>
        <v>IMG20210702151227.jpg</v>
      </c>
    </row>
    <row r="16" spans="1:16" x14ac:dyDescent="0.25">
      <c r="D16" s="5" t="s">
        <v>15</v>
      </c>
      <c r="E16" s="11" t="s">
        <v>16</v>
      </c>
      <c r="F16" s="11" t="s">
        <v>17</v>
      </c>
      <c r="G16" s="11" t="s">
        <v>4</v>
      </c>
      <c r="H16" s="12" t="s">
        <v>18</v>
      </c>
      <c r="I16" s="11">
        <v>4545457878</v>
      </c>
      <c r="J16" s="7"/>
      <c r="K16" t="str">
        <f t="shared" si="0"/>
        <v/>
      </c>
    </row>
    <row r="17" spans="4:11" x14ac:dyDescent="0.25">
      <c r="D17" s="5" t="s">
        <v>43</v>
      </c>
      <c r="E17" s="6" t="s">
        <v>48</v>
      </c>
      <c r="F17" s="6" t="s">
        <v>45</v>
      </c>
      <c r="G17" s="6" t="s">
        <v>49</v>
      </c>
      <c r="H17" s="6" t="s">
        <v>50</v>
      </c>
      <c r="I17" s="6" t="s">
        <v>46</v>
      </c>
      <c r="J17" s="7" t="s">
        <v>54</v>
      </c>
      <c r="K17" t="str">
        <f t="shared" si="0"/>
        <v>IMG20210702151919.jpg</v>
      </c>
    </row>
    <row r="18" spans="4:11" x14ac:dyDescent="0.25">
      <c r="D18" s="5" t="s">
        <v>55</v>
      </c>
      <c r="E18" s="6" t="s">
        <v>48</v>
      </c>
      <c r="F18" s="6" t="s">
        <v>45</v>
      </c>
      <c r="G18" s="6" t="s">
        <v>49</v>
      </c>
      <c r="H18" s="6"/>
      <c r="I18" s="6" t="s">
        <v>46</v>
      </c>
      <c r="J18" s="7"/>
      <c r="K18" t="str">
        <f t="shared" si="0"/>
        <v/>
      </c>
    </row>
    <row r="19" spans="4:11" x14ac:dyDescent="0.25">
      <c r="D19" s="5"/>
      <c r="E19" s="6"/>
      <c r="F19" s="6"/>
      <c r="G19" s="6"/>
      <c r="H19" s="6"/>
      <c r="I19" s="6"/>
      <c r="J19" s="7"/>
      <c r="K19" t="s">
        <v>53</v>
      </c>
    </row>
    <row r="20" spans="4:11" x14ac:dyDescent="0.25">
      <c r="D20" s="5"/>
      <c r="E20" s="6"/>
      <c r="F20" s="6"/>
      <c r="G20" s="6"/>
      <c r="H20" s="6"/>
      <c r="I20" s="6"/>
      <c r="J20" s="7"/>
      <c r="K20" t="s">
        <v>53</v>
      </c>
    </row>
    <row r="21" spans="4:11" x14ac:dyDescent="0.25">
      <c r="D21" s="5"/>
      <c r="E21" s="6"/>
      <c r="F21" s="6"/>
      <c r="G21" s="6"/>
      <c r="H21" s="6"/>
      <c r="I21" s="6"/>
      <c r="J21" s="7"/>
      <c r="K21" t="s">
        <v>53</v>
      </c>
    </row>
    <row r="22" spans="4:11" x14ac:dyDescent="0.25">
      <c r="D22" s="5"/>
      <c r="E22" s="6"/>
      <c r="F22" s="6"/>
      <c r="G22" s="6"/>
      <c r="H22" s="6"/>
      <c r="I22" s="6"/>
      <c r="J22" s="7"/>
      <c r="K22" t="s">
        <v>53</v>
      </c>
    </row>
    <row r="23" spans="4:11" x14ac:dyDescent="0.25">
      <c r="D23" s="5"/>
      <c r="E23" s="6"/>
      <c r="F23" s="6"/>
      <c r="G23" s="6"/>
      <c r="H23" s="6"/>
      <c r="I23" s="6"/>
      <c r="J23" s="7"/>
      <c r="K23" t="s">
        <v>53</v>
      </c>
    </row>
    <row r="24" spans="4:11" x14ac:dyDescent="0.25">
      <c r="D24" s="5"/>
      <c r="E24" s="6"/>
      <c r="F24" s="6"/>
      <c r="G24" s="6"/>
      <c r="H24" s="6"/>
      <c r="I24" s="6"/>
      <c r="J24" s="7"/>
      <c r="K24" t="s">
        <v>53</v>
      </c>
    </row>
    <row r="25" spans="4:11" x14ac:dyDescent="0.25">
      <c r="D25" s="5"/>
      <c r="E25" s="6"/>
      <c r="F25" s="6"/>
      <c r="G25" s="6"/>
      <c r="H25" s="6"/>
      <c r="I25" s="6"/>
      <c r="J25" s="7"/>
      <c r="K25" t="s">
        <v>53</v>
      </c>
    </row>
    <row r="26" spans="4:11" x14ac:dyDescent="0.25">
      <c r="D26" s="5"/>
      <c r="E26" s="6"/>
      <c r="F26" s="6"/>
      <c r="G26" s="6"/>
      <c r="H26" s="6"/>
      <c r="I26" s="6"/>
      <c r="J26" s="7"/>
      <c r="K26" t="s">
        <v>53</v>
      </c>
    </row>
    <row r="27" spans="4:11" x14ac:dyDescent="0.25">
      <c r="D27" s="5"/>
      <c r="E27" s="6"/>
      <c r="F27" s="6"/>
      <c r="G27" s="6"/>
      <c r="H27" s="6"/>
      <c r="I27" s="6"/>
      <c r="J27" s="7"/>
      <c r="K27" t="s">
        <v>53</v>
      </c>
    </row>
    <row r="28" spans="4:11" x14ac:dyDescent="0.25">
      <c r="D28" s="5"/>
      <c r="E28" s="6"/>
      <c r="F28" s="6"/>
      <c r="G28" s="6"/>
      <c r="H28" s="6"/>
      <c r="I28" s="6"/>
      <c r="J28" s="7"/>
      <c r="K28" t="s">
        <v>53</v>
      </c>
    </row>
    <row r="29" spans="4:11" x14ac:dyDescent="0.25">
      <c r="D29" s="5"/>
      <c r="E29" s="6"/>
      <c r="F29" s="6"/>
      <c r="G29" s="6"/>
      <c r="H29" s="6"/>
      <c r="I29" s="6"/>
      <c r="J29" s="7"/>
      <c r="K29" t="s">
        <v>53</v>
      </c>
    </row>
    <row r="30" spans="4:11" x14ac:dyDescent="0.25">
      <c r="D30" s="5"/>
      <c r="E30" s="6"/>
      <c r="F30" s="6"/>
      <c r="G30" s="6"/>
      <c r="H30" s="6"/>
      <c r="I30" s="6"/>
      <c r="J30" s="7"/>
      <c r="K30" t="s">
        <v>53</v>
      </c>
    </row>
    <row r="31" spans="4:11" x14ac:dyDescent="0.25">
      <c r="D31" s="5"/>
      <c r="E31" s="6"/>
      <c r="F31" s="6"/>
      <c r="G31" s="6"/>
      <c r="H31" s="6"/>
      <c r="I31" s="6"/>
      <c r="J31" s="7"/>
      <c r="K31" t="s">
        <v>53</v>
      </c>
    </row>
    <row r="32" spans="4:11" x14ac:dyDescent="0.25">
      <c r="D32" s="5"/>
      <c r="E32" s="6"/>
      <c r="F32" s="6"/>
      <c r="G32" s="6"/>
      <c r="H32" s="6"/>
      <c r="I32" s="6"/>
      <c r="J32" s="7"/>
      <c r="K32" t="s">
        <v>53</v>
      </c>
    </row>
    <row r="33" spans="4:11" x14ac:dyDescent="0.25">
      <c r="D33" s="5"/>
      <c r="E33" s="6"/>
      <c r="F33" s="6"/>
      <c r="G33" s="6"/>
      <c r="H33" s="6"/>
      <c r="I33" s="6"/>
      <c r="J33" s="7"/>
      <c r="K33" t="s">
        <v>53</v>
      </c>
    </row>
    <row r="34" spans="4:11" x14ac:dyDescent="0.25">
      <c r="D34" s="5"/>
      <c r="E34" s="6"/>
      <c r="F34" s="6"/>
      <c r="G34" s="6"/>
      <c r="H34" s="6"/>
      <c r="I34" s="6"/>
      <c r="J34" s="7"/>
      <c r="K34" t="s">
        <v>53</v>
      </c>
    </row>
    <row r="35" spans="4:11" x14ac:dyDescent="0.25">
      <c r="D35" s="5"/>
      <c r="E35" s="6"/>
      <c r="F35" s="6"/>
      <c r="G35" s="6"/>
      <c r="H35" s="6"/>
      <c r="I35" s="6"/>
      <c r="J35" s="7"/>
      <c r="K35" t="s">
        <v>53</v>
      </c>
    </row>
    <row r="36" spans="4:11" x14ac:dyDescent="0.25">
      <c r="D36" s="5"/>
      <c r="E36" s="6"/>
      <c r="F36" s="6"/>
      <c r="G36" s="6"/>
      <c r="H36" s="6"/>
      <c r="I36" s="6"/>
      <c r="J36" s="7"/>
      <c r="K36" t="s">
        <v>53</v>
      </c>
    </row>
    <row r="37" spans="4:11" x14ac:dyDescent="0.25">
      <c r="D37" s="5"/>
      <c r="E37" s="6"/>
      <c r="F37" s="6"/>
      <c r="G37" s="6"/>
      <c r="H37" s="6"/>
      <c r="I37" s="6"/>
      <c r="J37" s="7"/>
      <c r="K37" t="s">
        <v>53</v>
      </c>
    </row>
    <row r="38" spans="4:11" x14ac:dyDescent="0.25">
      <c r="D38" s="5"/>
      <c r="E38" s="6"/>
      <c r="F38" s="6"/>
      <c r="G38" s="6"/>
      <c r="H38" s="6"/>
      <c r="I38" s="6"/>
      <c r="J38" s="7"/>
      <c r="K38" t="s">
        <v>53</v>
      </c>
    </row>
    <row r="39" spans="4:11" x14ac:dyDescent="0.25">
      <c r="D39" s="5"/>
      <c r="E39" s="6"/>
      <c r="F39" s="6"/>
      <c r="G39" s="6"/>
      <c r="H39" s="6"/>
      <c r="I39" s="6"/>
      <c r="J39" s="7"/>
      <c r="K39" t="s">
        <v>53</v>
      </c>
    </row>
    <row r="40" spans="4:11" x14ac:dyDescent="0.25">
      <c r="D40" s="5"/>
      <c r="E40" s="6"/>
      <c r="F40" s="6"/>
      <c r="G40" s="6"/>
      <c r="H40" s="6"/>
      <c r="I40" s="6"/>
      <c r="J40" s="7"/>
      <c r="K40" t="s">
        <v>53</v>
      </c>
    </row>
    <row r="41" spans="4:11" x14ac:dyDescent="0.25">
      <c r="D41" s="5"/>
      <c r="E41" s="6"/>
      <c r="F41" s="6"/>
      <c r="G41" s="6"/>
      <c r="H41" s="6"/>
      <c r="I41" s="6"/>
      <c r="J41" s="7"/>
      <c r="K41" t="s">
        <v>53</v>
      </c>
    </row>
    <row r="42" spans="4:11" x14ac:dyDescent="0.25">
      <c r="D42" s="5"/>
      <c r="E42" s="6"/>
      <c r="F42" s="6"/>
      <c r="G42" s="6"/>
      <c r="H42" s="6"/>
      <c r="I42" s="6"/>
      <c r="J42" s="7"/>
      <c r="K42" t="s">
        <v>53</v>
      </c>
    </row>
    <row r="43" spans="4:11" x14ac:dyDescent="0.25">
      <c r="D43" s="5"/>
      <c r="E43" s="6"/>
      <c r="F43" s="6"/>
      <c r="G43" s="6"/>
      <c r="H43" s="6"/>
      <c r="I43" s="6"/>
      <c r="J43" s="7"/>
      <c r="K43" t="s">
        <v>53</v>
      </c>
    </row>
    <row r="44" spans="4:11" x14ac:dyDescent="0.25">
      <c r="D44" s="8"/>
      <c r="E44" s="9"/>
      <c r="F44" s="9"/>
      <c r="G44" s="9"/>
      <c r="H44" s="9"/>
      <c r="I44" s="9"/>
      <c r="J44" s="10"/>
      <c r="K44" t="s">
        <v>53</v>
      </c>
    </row>
    <row r="49" spans="11:16" x14ac:dyDescent="0.25">
      <c r="K49" t="s">
        <v>80</v>
      </c>
      <c r="L49" t="s">
        <v>67</v>
      </c>
    </row>
    <row r="51" spans="11:16" x14ac:dyDescent="0.25">
      <c r="K51" t="s">
        <v>69</v>
      </c>
      <c r="L51" t="s">
        <v>65</v>
      </c>
    </row>
    <row r="52" spans="11:16" x14ac:dyDescent="0.25">
      <c r="K52" t="s">
        <v>70</v>
      </c>
      <c r="L52" t="s">
        <v>72</v>
      </c>
    </row>
    <row r="54" spans="11:16" x14ac:dyDescent="0.25">
      <c r="K54" t="s">
        <v>74</v>
      </c>
      <c r="L54">
        <f>TRAVELTIME(L51,L52,L49)</f>
        <v>13444</v>
      </c>
      <c r="M54" t="s">
        <v>79</v>
      </c>
      <c r="N54">
        <f>ROUND(L54/60,0)</f>
        <v>224</v>
      </c>
      <c r="O54" t="s">
        <v>71</v>
      </c>
    </row>
    <row r="55" spans="11:16" x14ac:dyDescent="0.25">
      <c r="N55" t="str">
        <f>INT(L54/(60*60))&amp;" j "&amp;INT(L54/60)-INT(L54/(60*60))*60&amp;" m "&amp;MOD(L54,60)&amp;" s"</f>
        <v>3 j 44 m 4 s</v>
      </c>
      <c r="P55" t="str">
        <f>INT(N54/60)&amp;" j "&amp;MOD(N54,60)&amp;" m"</f>
        <v>3 j 44 m</v>
      </c>
    </row>
    <row r="56" spans="11:16" x14ac:dyDescent="0.25">
      <c r="K56" t="s">
        <v>75</v>
      </c>
      <c r="L56">
        <f>TRAVELDISTANCE(L51,L52,L49)</f>
        <v>351284</v>
      </c>
      <c r="M56" t="s">
        <v>76</v>
      </c>
      <c r="N56">
        <f>L56/1000</f>
        <v>351.28399999999999</v>
      </c>
      <c r="O56" t="s">
        <v>61</v>
      </c>
    </row>
    <row r="58" spans="11:16" x14ac:dyDescent="0.25">
      <c r="N58">
        <f>INT(L54/(60*60))</f>
        <v>3</v>
      </c>
    </row>
    <row r="59" spans="11:16" x14ac:dyDescent="0.25">
      <c r="N59">
        <f>INT(L54/60)</f>
        <v>224</v>
      </c>
    </row>
    <row r="60" spans="11:16" x14ac:dyDescent="0.25">
      <c r="N60">
        <f>INT(L54/60)-INT(L54/(60*60))*60</f>
        <v>44</v>
      </c>
    </row>
  </sheetData>
  <mergeCells count="1">
    <mergeCell ref="D1:J1"/>
  </mergeCells>
  <conditionalFormatting sqref="D13:J44">
    <cfRule type="expression" dxfId="7" priority="1">
      <formula>$B$2=ROW()</formula>
    </cfRule>
    <cfRule type="expression" dxfId="6" priority="9">
      <formula>MOD(ROW(),2)=1</formula>
    </cfRule>
  </conditionalFormatting>
  <conditionalFormatting sqref="E5 E7 E9 H5 H7 H9">
    <cfRule type="containsBlanks" dxfId="5" priority="8">
      <formula>LEN(TRIM(E5))=0</formula>
    </cfRule>
  </conditionalFormatting>
  <hyperlinks>
    <hyperlink ref="H15" r:id="rId1" xr:uid="{B0CC1712-2B56-42D1-8E9B-ACC698A23105}"/>
    <hyperlink ref="H14" r:id="rId2" xr:uid="{6F09B1DD-0D40-494E-B77F-C24FBF2EF600}"/>
    <hyperlink ref="H13" r:id="rId3" xr:uid="{A46A5D5A-C9E7-4898-9D69-B1384FE60DA3}"/>
    <hyperlink ref="H16" r:id="rId4" xr:uid="{5702E798-1D88-4AA9-A39A-3825E781E1C3}"/>
  </hyperlinks>
  <pageMargins left="0.7" right="0.7" top="0.75" bottom="0.75" header="0.3" footer="0.3"/>
  <pageSetup orientation="portrait" horizontalDpi="4294967293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CC373-0D94-4DB4-BD0F-A5E46A8503CA}">
  <sheetPr codeName="Sheet2"/>
  <dimension ref="B1:N44"/>
  <sheetViews>
    <sheetView tabSelected="1" topLeftCell="A14" workbookViewId="0">
      <selection activeCell="P25" sqref="P25"/>
    </sheetView>
  </sheetViews>
  <sheetFormatPr defaultRowHeight="15" x14ac:dyDescent="0.25"/>
  <cols>
    <col min="1" max="1" width="12" customWidth="1"/>
    <col min="2" max="2" width="15.7109375" customWidth="1"/>
    <col min="3" max="3" width="12" customWidth="1"/>
    <col min="12" max="12" width="11.28515625" customWidth="1"/>
  </cols>
  <sheetData>
    <row r="1" spans="2:9" x14ac:dyDescent="0.25">
      <c r="B1" t="s">
        <v>77</v>
      </c>
      <c r="C1" s="22" t="s">
        <v>58</v>
      </c>
      <c r="D1" s="22"/>
    </row>
    <row r="2" spans="2:9" x14ac:dyDescent="0.25">
      <c r="B2" t="s">
        <v>78</v>
      </c>
      <c r="C2" s="22" t="s">
        <v>59</v>
      </c>
      <c r="D2" s="22"/>
    </row>
    <row r="3" spans="2:9" x14ac:dyDescent="0.25">
      <c r="B3" t="s">
        <v>57</v>
      </c>
      <c r="C3" s="19" t="s">
        <v>56</v>
      </c>
    </row>
    <row r="4" spans="2:9" x14ac:dyDescent="0.25">
      <c r="B4" t="s">
        <v>68</v>
      </c>
      <c r="C4" t="s">
        <v>67</v>
      </c>
    </row>
    <row r="5" spans="2:9" x14ac:dyDescent="0.25">
      <c r="C5">
        <f>GetDistance(C1,C2,C3)</f>
        <v>2124</v>
      </c>
      <c r="D5" t="s">
        <v>76</v>
      </c>
    </row>
    <row r="6" spans="2:9" x14ac:dyDescent="0.25">
      <c r="B6" t="s">
        <v>134</v>
      </c>
      <c r="F6" s="20" t="s">
        <v>81</v>
      </c>
      <c r="I6" s="20" t="s">
        <v>86</v>
      </c>
    </row>
    <row r="7" spans="2:9" x14ac:dyDescent="0.25">
      <c r="B7" t="s">
        <v>62</v>
      </c>
      <c r="C7" s="22" t="s">
        <v>60</v>
      </c>
      <c r="D7" s="22"/>
    </row>
    <row r="8" spans="2:9" x14ac:dyDescent="0.25">
      <c r="B8" t="s">
        <v>63</v>
      </c>
      <c r="C8" s="22" t="s">
        <v>64</v>
      </c>
      <c r="D8" s="22"/>
      <c r="I8" t="s">
        <v>87</v>
      </c>
    </row>
    <row r="9" spans="2:9" x14ac:dyDescent="0.25">
      <c r="C9">
        <f>GetDistance(C7,C8,C3)</f>
        <v>20</v>
      </c>
      <c r="D9" t="s">
        <v>61</v>
      </c>
    </row>
    <row r="11" spans="2:9" x14ac:dyDescent="0.25">
      <c r="C11" s="22" t="s">
        <v>65</v>
      </c>
      <c r="D11" s="22"/>
      <c r="E11" s="22"/>
    </row>
    <row r="12" spans="2:9" x14ac:dyDescent="0.25">
      <c r="C12" s="22" t="s">
        <v>66</v>
      </c>
      <c r="D12" s="22"/>
      <c r="E12" s="22"/>
    </row>
    <row r="13" spans="2:9" x14ac:dyDescent="0.25">
      <c r="C13">
        <f>TRAVELTIME(C11,C12,C4)</f>
        <v>1784</v>
      </c>
      <c r="D13" t="s">
        <v>79</v>
      </c>
      <c r="E13">
        <f>C13/60</f>
        <v>29.733333333333334</v>
      </c>
      <c r="F13" t="s">
        <v>76</v>
      </c>
      <c r="G13" t="str">
        <f>IF(INT(C13/(60*60))&gt;0,INT(C13/(60*60))&amp;"j "," ")&amp;INT(C13/60)-INT(C13/(60*60))*60&amp;"m "&amp;MOD(C13,60)&amp;"s"</f>
        <v xml:space="preserve"> 29m 44s</v>
      </c>
    </row>
    <row r="15" spans="2:9" x14ac:dyDescent="0.25">
      <c r="C15">
        <f>TRAVELDISTANCE(C11,C12,C4)</f>
        <v>28153</v>
      </c>
      <c r="D15" t="s">
        <v>76</v>
      </c>
      <c r="E15">
        <f>C15/1000</f>
        <v>28.152999999999999</v>
      </c>
      <c r="F15" t="s">
        <v>61</v>
      </c>
    </row>
    <row r="17" spans="2:14" ht="21" x14ac:dyDescent="0.35">
      <c r="B17" s="44" t="s">
        <v>135</v>
      </c>
    </row>
    <row r="18" spans="2:14" x14ac:dyDescent="0.25">
      <c r="B18" t="s">
        <v>69</v>
      </c>
      <c r="C18" s="22" t="s">
        <v>66</v>
      </c>
      <c r="D18" s="22"/>
      <c r="E18" s="22"/>
      <c r="F18" s="22"/>
      <c r="G18" s="22" t="s">
        <v>82</v>
      </c>
      <c r="J18" s="22" t="s">
        <v>66</v>
      </c>
    </row>
    <row r="19" spans="2:14" x14ac:dyDescent="0.25">
      <c r="B19" t="s">
        <v>70</v>
      </c>
      <c r="C19" s="22" t="s">
        <v>140</v>
      </c>
      <c r="D19" s="22"/>
      <c r="E19" s="22"/>
      <c r="F19" s="22"/>
      <c r="G19" s="22" t="s">
        <v>83</v>
      </c>
      <c r="J19" s="22" t="s">
        <v>131</v>
      </c>
    </row>
    <row r="21" spans="2:14" ht="18.75" x14ac:dyDescent="0.3">
      <c r="B21" s="33" t="s">
        <v>84</v>
      </c>
      <c r="C21">
        <f>TRAVELDISTANCE(C18,C19,C4)</f>
        <v>8420</v>
      </c>
    </row>
    <row r="22" spans="2:14" ht="23.25" x14ac:dyDescent="0.35">
      <c r="B22" t="s">
        <v>132</v>
      </c>
      <c r="C22" s="41">
        <f>C21/1000</f>
        <v>8.42</v>
      </c>
      <c r="D22" t="s">
        <v>61</v>
      </c>
    </row>
    <row r="24" spans="2:14" x14ac:dyDescent="0.25">
      <c r="C24" s="45">
        <f>TRAVELTIME(C18,C19,C4)</f>
        <v>601</v>
      </c>
    </row>
    <row r="25" spans="2:14" x14ac:dyDescent="0.25">
      <c r="C25">
        <f>C24/60</f>
        <v>10.016666666666667</v>
      </c>
      <c r="D25" t="s">
        <v>71</v>
      </c>
    </row>
    <row r="26" spans="2:14" ht="18" x14ac:dyDescent="0.25">
      <c r="B26" t="s">
        <v>133</v>
      </c>
      <c r="C26">
        <f>C25/60</f>
        <v>0.16694444444444445</v>
      </c>
      <c r="D26" t="s">
        <v>73</v>
      </c>
      <c r="E26" s="43" t="str">
        <f>TEXT(C26/24,"[h] ""jam "" m ""minit "" s ""saat""")</f>
        <v>0 jam  10 minit  1 saat</v>
      </c>
      <c r="L26" s="47">
        <v>29114</v>
      </c>
    </row>
    <row r="27" spans="2:14" x14ac:dyDescent="0.25">
      <c r="C27" s="46" t="str">
        <f>IF(INT(C24/(60*60))&gt;0,INT(C24/(60*60))&amp;" j "," ")&amp;INT(C24/60)-INT(C24/(60*60))*60&amp;" m "&amp;MOD(C24,60)&amp;" s"</f>
        <v xml:space="preserve"> 10 m 1 s</v>
      </c>
      <c r="L27" s="47">
        <f ca="1">TODAY()</f>
        <v>44411</v>
      </c>
    </row>
    <row r="28" spans="2:14" x14ac:dyDescent="0.25">
      <c r="C28" s="21"/>
    </row>
    <row r="29" spans="2:14" ht="18.75" x14ac:dyDescent="0.3">
      <c r="B29" s="33" t="s">
        <v>85</v>
      </c>
      <c r="C29">
        <f>TRAVELDISTANCE(C19,C18,C4)</f>
        <v>6762</v>
      </c>
      <c r="L29" t="str">
        <f ca="1">DATEDIF(L26,L27,"y") &amp; " tahun"</f>
        <v>41 tahun</v>
      </c>
      <c r="N29">
        <f ca="1">YEARFRAC(L26,L27,3)</f>
        <v>41.909589041095892</v>
      </c>
    </row>
    <row r="30" spans="2:14" ht="26.25" x14ac:dyDescent="0.4">
      <c r="B30" t="s">
        <v>132</v>
      </c>
      <c r="C30" s="42">
        <f>C29/1000</f>
        <v>6.7619999999999996</v>
      </c>
      <c r="D30" t="s">
        <v>61</v>
      </c>
      <c r="L30" t="str">
        <f ca="1">DATEDIF(L26,L27,"y") &amp; " tahun " &amp; DATEDIF(L26,L27,"ym") &amp; " bulan "</f>
        <v xml:space="preserve">41 tahun 10 bulan </v>
      </c>
    </row>
    <row r="31" spans="2:14" x14ac:dyDescent="0.25">
      <c r="L31" t="str">
        <f ca="1">DATEDIF(L26,L27,"y") &amp; " tahun "
&amp; DATEDIF(L26,L27,"ym") &amp; " bulan "
&amp; L27-DATE(YEAR(L27),MONTH(L27),1) &amp; " hari"</f>
        <v>41 tahun 10 bulan 2 hari</v>
      </c>
    </row>
    <row r="32" spans="2:14" x14ac:dyDescent="0.25">
      <c r="C32">
        <f>TRAVELTIME(C19,C18,C4)</f>
        <v>548</v>
      </c>
    </row>
    <row r="33" spans="2:5" x14ac:dyDescent="0.25">
      <c r="C33">
        <f>C32/60</f>
        <v>9.1333333333333329</v>
      </c>
      <c r="D33" t="s">
        <v>71</v>
      </c>
    </row>
    <row r="34" spans="2:5" ht="20.25" x14ac:dyDescent="0.3">
      <c r="B34" t="s">
        <v>133</v>
      </c>
      <c r="C34">
        <f>C33/60</f>
        <v>0.1522222222222222</v>
      </c>
      <c r="D34" t="s">
        <v>73</v>
      </c>
      <c r="E34" s="40" t="str">
        <f>TEXT(C34/24,"[h] ""hours,"" m ""minutes, "" s ""seconds""")</f>
        <v>0 hours, 9 minutes,  8 seconds</v>
      </c>
    </row>
    <row r="35" spans="2:5" x14ac:dyDescent="0.25">
      <c r="C35" s="21" t="str">
        <f>IF(INT(C32/(60*60))&gt;0,INT(C32/(60*60))&amp;" j "," ")&amp;INT(C32/60)-INT(C32/(60*60))*60&amp;" m "&amp;MOD(C32,60)&amp;" s"</f>
        <v xml:space="preserve"> 9 m 8 s</v>
      </c>
    </row>
    <row r="37" spans="2:5" x14ac:dyDescent="0.25">
      <c r="B37" t="s">
        <v>136</v>
      </c>
      <c r="C37">
        <f>C21+C29</f>
        <v>15182</v>
      </c>
    </row>
    <row r="38" spans="2:5" ht="21" x14ac:dyDescent="0.35">
      <c r="C38" s="48" t="str">
        <f>ROUND(C37/1000,1)&amp;"km"</f>
        <v>15.2km</v>
      </c>
    </row>
    <row r="40" spans="2:5" x14ac:dyDescent="0.25">
      <c r="B40" t="s">
        <v>137</v>
      </c>
      <c r="C40">
        <f>C24+C32</f>
        <v>1149</v>
      </c>
    </row>
    <row r="41" spans="2:5" ht="18" x14ac:dyDescent="0.25">
      <c r="C41">
        <f>C40/60</f>
        <v>19.149999999999999</v>
      </c>
      <c r="E41" s="43"/>
    </row>
    <row r="42" spans="2:5" ht="18" x14ac:dyDescent="0.25">
      <c r="C42">
        <f>C41/60</f>
        <v>0.31916666666666665</v>
      </c>
      <c r="E42" s="43" t="str">
        <f>TEXT(C42/24,"[h] ""jam "" m ""minit "" s ""saat""")</f>
        <v>0 jam  19 minit  9 saat</v>
      </c>
    </row>
    <row r="44" spans="2:5" ht="21" x14ac:dyDescent="0.35">
      <c r="B44" t="s">
        <v>139</v>
      </c>
      <c r="C44" s="44">
        <f>ROUND((C37/1000)/C42,1)</f>
        <v>47.6</v>
      </c>
      <c r="D44" t="s">
        <v>138</v>
      </c>
    </row>
  </sheetData>
  <conditionalFormatting sqref="C27">
    <cfRule type="expression" dxfId="4" priority="3">
      <formula>$C$24&lt;$C$32</formula>
    </cfRule>
  </conditionalFormatting>
  <conditionalFormatting sqref="C32">
    <cfRule type="expression" dxfId="3" priority="2">
      <formula>$C$32&lt;$C$24</formula>
    </cfRule>
  </conditionalFormatting>
  <conditionalFormatting sqref="C35">
    <cfRule type="expression" dxfId="2" priority="1">
      <formula>$C$32&lt;$C$24</formula>
    </cfRule>
  </conditionalFormatting>
  <hyperlinks>
    <hyperlink ref="F6" r:id="rId1" xr:uid="{461FE6BE-D51A-4E0D-9EFE-3CF69412DD98}"/>
    <hyperlink ref="I6" r:id="rId2" xr:uid="{0EF5D9D8-1890-42BB-9697-96D5F209B643}"/>
  </hyperlinks>
  <pageMargins left="0.7" right="0.7" top="0.75" bottom="0.75" header="0.3" footer="0.3"/>
  <pageSetup orientation="portrait" horizontalDpi="4294967293" verticalDpi="0"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C6D95-E889-4B52-ADA6-291FC626B3D0}">
  <sheetPr codeName="Sheet3"/>
  <dimension ref="B6:G55"/>
  <sheetViews>
    <sheetView topLeftCell="A39" workbookViewId="0">
      <selection activeCell="B56" sqref="B56"/>
    </sheetView>
  </sheetViews>
  <sheetFormatPr defaultRowHeight="15" x14ac:dyDescent="0.25"/>
  <cols>
    <col min="2" max="2" width="22.28515625" customWidth="1"/>
    <col min="3" max="3" width="13.140625" customWidth="1"/>
    <col min="5" max="5" width="14.140625" customWidth="1"/>
    <col min="6" max="6" width="16.42578125" bestFit="1" customWidth="1"/>
  </cols>
  <sheetData>
    <row r="6" spans="2:6" x14ac:dyDescent="0.25">
      <c r="B6" t="s">
        <v>88</v>
      </c>
      <c r="D6" t="str">
        <f>SUBSTITUTE(filename,"."&amp;TRIM(RIGHT(SUBSTITUTE(filename,".",REPT(" ",100)),100)),"")</f>
        <v>Invoice 2020.12.31</v>
      </c>
    </row>
    <row r="7" spans="2:6" x14ac:dyDescent="0.25">
      <c r="D7" t="str">
        <f>LEFT(filename,FIND(".",filename)-1)</f>
        <v>Invoice 2020</v>
      </c>
    </row>
    <row r="12" spans="2:6" x14ac:dyDescent="0.25">
      <c r="F12" s="23" t="s">
        <v>89</v>
      </c>
    </row>
    <row r="13" spans="2:6" x14ac:dyDescent="0.25">
      <c r="F13" t="str">
        <f>CHAR(176)</f>
        <v>°</v>
      </c>
    </row>
    <row r="16" spans="2:6" ht="21.75" thickBot="1" x14ac:dyDescent="0.4">
      <c r="B16" s="28" t="s">
        <v>90</v>
      </c>
      <c r="C16" s="25"/>
      <c r="D16" s="25"/>
    </row>
    <row r="17" spans="2:7" ht="15.75" thickTop="1" x14ac:dyDescent="0.25">
      <c r="B17" s="6"/>
      <c r="C17" s="6"/>
    </row>
    <row r="18" spans="2:7" x14ac:dyDescent="0.25">
      <c r="B18" s="27" t="s">
        <v>91</v>
      </c>
      <c r="C18" s="29" t="s">
        <v>92</v>
      </c>
      <c r="D18" s="27" t="s">
        <v>93</v>
      </c>
    </row>
    <row r="19" spans="2:7" x14ac:dyDescent="0.25">
      <c r="B19" t="s">
        <v>94</v>
      </c>
      <c r="C19" s="30"/>
      <c r="D19" t="b">
        <v>1</v>
      </c>
    </row>
    <row r="20" spans="2:7" x14ac:dyDescent="0.25">
      <c r="B20" t="s">
        <v>95</v>
      </c>
      <c r="C20" s="30"/>
      <c r="D20" t="b">
        <v>1</v>
      </c>
      <c r="F20" s="26" t="s">
        <v>101</v>
      </c>
      <c r="G20" s="31">
        <f>COUNTA(D19:D25)</f>
        <v>7</v>
      </c>
    </row>
    <row r="21" spans="2:7" x14ac:dyDescent="0.25">
      <c r="B21" t="s">
        <v>96</v>
      </c>
      <c r="C21" s="30"/>
      <c r="D21" t="b">
        <v>0</v>
      </c>
      <c r="F21" s="26" t="s">
        <v>102</v>
      </c>
      <c r="G21" s="31">
        <f>COUNTIF(D19:D25,TRUE)</f>
        <v>5</v>
      </c>
    </row>
    <row r="22" spans="2:7" x14ac:dyDescent="0.25">
      <c r="B22" t="s">
        <v>97</v>
      </c>
      <c r="C22" s="30"/>
      <c r="D22" t="b">
        <v>1</v>
      </c>
      <c r="F22" s="26" t="s">
        <v>103</v>
      </c>
      <c r="G22" s="32">
        <f>G21/G20</f>
        <v>0.7142857142857143</v>
      </c>
    </row>
    <row r="23" spans="2:7" x14ac:dyDescent="0.25">
      <c r="B23" t="s">
        <v>98</v>
      </c>
      <c r="C23" s="30"/>
      <c r="D23" t="b">
        <v>1</v>
      </c>
    </row>
    <row r="24" spans="2:7" x14ac:dyDescent="0.25">
      <c r="B24" t="s">
        <v>99</v>
      </c>
      <c r="C24" s="30"/>
      <c r="D24" t="b">
        <v>0</v>
      </c>
    </row>
    <row r="25" spans="2:7" x14ac:dyDescent="0.25">
      <c r="B25" t="s">
        <v>100</v>
      </c>
      <c r="C25" s="30"/>
      <c r="D25" t="b">
        <v>1</v>
      </c>
    </row>
    <row r="26" spans="2:7" x14ac:dyDescent="0.25">
      <c r="G26" s="24"/>
    </row>
    <row r="30" spans="2:7" x14ac:dyDescent="0.25">
      <c r="B30" s="24" t="s">
        <v>104</v>
      </c>
      <c r="C30" s="24" t="s">
        <v>105</v>
      </c>
    </row>
    <row r="31" spans="2:7" x14ac:dyDescent="0.25">
      <c r="B31" t="s">
        <v>106</v>
      </c>
      <c r="C31" t="b">
        <f ca="1">ISREF(INDIRECT(B31&amp;"!A1"))</f>
        <v>1</v>
      </c>
    </row>
    <row r="32" spans="2:7" x14ac:dyDescent="0.25">
      <c r="B32" t="s">
        <v>107</v>
      </c>
      <c r="C32" t="b">
        <f t="shared" ref="C32:C35" ca="1" si="0">ISREF(INDIRECT(B32&amp;"!A1"))</f>
        <v>0</v>
      </c>
    </row>
    <row r="33" spans="2:6" x14ac:dyDescent="0.25">
      <c r="B33" t="s">
        <v>108</v>
      </c>
      <c r="C33" t="b">
        <f t="shared" ca="1" si="0"/>
        <v>0</v>
      </c>
    </row>
    <row r="34" spans="2:6" x14ac:dyDescent="0.25">
      <c r="B34" t="s">
        <v>109</v>
      </c>
      <c r="C34" t="b">
        <f t="shared" ca="1" si="0"/>
        <v>0</v>
      </c>
    </row>
    <row r="35" spans="2:6" x14ac:dyDescent="0.25">
      <c r="B35" t="s">
        <v>110</v>
      </c>
      <c r="C35" t="b">
        <f t="shared" ca="1" si="0"/>
        <v>0</v>
      </c>
    </row>
    <row r="39" spans="2:6" x14ac:dyDescent="0.25">
      <c r="B39" t="str">
        <f ca="1">CELL("filename",A1)</f>
        <v>C:\Users\user\Documents\GitHub\mohafan\[ContactWithPicture.xlsm]Find&amp;Search</v>
      </c>
    </row>
    <row r="42" spans="2:6" ht="18.75" x14ac:dyDescent="0.3">
      <c r="B42" s="33" t="s">
        <v>112</v>
      </c>
    </row>
    <row r="44" spans="2:6" ht="15.75" x14ac:dyDescent="0.25">
      <c r="B44" s="34" t="s">
        <v>113</v>
      </c>
      <c r="C44" s="35" t="s">
        <v>114</v>
      </c>
    </row>
    <row r="45" spans="2:6" x14ac:dyDescent="0.25">
      <c r="B45" s="36" t="s">
        <v>121</v>
      </c>
      <c r="C45" s="36" t="s">
        <v>115</v>
      </c>
      <c r="E45" s="37" t="s">
        <v>127</v>
      </c>
      <c r="F45" s="38">
        <v>48</v>
      </c>
    </row>
    <row r="46" spans="2:6" x14ac:dyDescent="0.25">
      <c r="B46" s="36" t="s">
        <v>122</v>
      </c>
      <c r="C46" s="36" t="s">
        <v>116</v>
      </c>
      <c r="E46" s="37" t="s">
        <v>128</v>
      </c>
      <c r="F46" s="39" t="str">
        <f>IF(F45&lt;36,"XS",
IF(F45&lt;39,"S",
IF(F45&lt;42,"M",
IF(F45&lt;46,"L",
IF(F45&lt;50,"XL",
IF(F45&lt;54,"XXL",
"Not Found"))))))</f>
        <v>XL</v>
      </c>
    </row>
    <row r="47" spans="2:6" x14ac:dyDescent="0.25">
      <c r="B47" s="36" t="s">
        <v>123</v>
      </c>
      <c r="C47" s="36" t="s">
        <v>117</v>
      </c>
    </row>
    <row r="48" spans="2:6" x14ac:dyDescent="0.25">
      <c r="B48" s="36" t="s">
        <v>124</v>
      </c>
      <c r="C48" s="36" t="s">
        <v>118</v>
      </c>
    </row>
    <row r="49" spans="2:3" x14ac:dyDescent="0.25">
      <c r="B49" s="36" t="s">
        <v>125</v>
      </c>
      <c r="C49" s="36" t="s">
        <v>119</v>
      </c>
    </row>
    <row r="50" spans="2:3" x14ac:dyDescent="0.25">
      <c r="B50" s="36" t="s">
        <v>126</v>
      </c>
      <c r="C50" s="36" t="s">
        <v>120</v>
      </c>
    </row>
    <row r="54" spans="2:3" x14ac:dyDescent="0.25">
      <c r="B54" s="1" t="s">
        <v>130</v>
      </c>
      <c r="C54" s="1" t="s">
        <v>129</v>
      </c>
    </row>
    <row r="55" spans="2:3" x14ac:dyDescent="0.25">
      <c r="B55" s="1">
        <v>50</v>
      </c>
      <c r="C55" s="1" t="str">
        <f>ROMAN(B55,0)</f>
        <v>L</v>
      </c>
    </row>
  </sheetData>
  <phoneticPr fontId="10" type="noConversion"/>
  <conditionalFormatting sqref="E27">
    <cfRule type="expression" dxfId="1" priority="2">
      <formula>NOT($D19)</formula>
    </cfRule>
  </conditionalFormatting>
  <conditionalFormatting sqref="B19:B25">
    <cfRule type="expression" dxfId="0" priority="1">
      <formula>NOT($D19)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342900</xdr:colOff>
                    <xdr:row>17</xdr:row>
                    <xdr:rowOff>180975</xdr:rowOff>
                  </from>
                  <to>
                    <xdr:col>2</xdr:col>
                    <xdr:colOff>561975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342900</xdr:colOff>
                    <xdr:row>18</xdr:row>
                    <xdr:rowOff>161925</xdr:rowOff>
                  </from>
                  <to>
                    <xdr:col>2</xdr:col>
                    <xdr:colOff>647700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2</xdr:col>
                    <xdr:colOff>342900</xdr:colOff>
                    <xdr:row>19</xdr:row>
                    <xdr:rowOff>171450</xdr:rowOff>
                  </from>
                  <to>
                    <xdr:col>2</xdr:col>
                    <xdr:colOff>647700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2</xdr:col>
                    <xdr:colOff>342900</xdr:colOff>
                    <xdr:row>20</xdr:row>
                    <xdr:rowOff>171450</xdr:rowOff>
                  </from>
                  <to>
                    <xdr:col>2</xdr:col>
                    <xdr:colOff>647700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 moveWithCells="1">
                  <from>
                    <xdr:col>2</xdr:col>
                    <xdr:colOff>342900</xdr:colOff>
                    <xdr:row>21</xdr:row>
                    <xdr:rowOff>171450</xdr:rowOff>
                  </from>
                  <to>
                    <xdr:col>2</xdr:col>
                    <xdr:colOff>647700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 moveWithCells="1">
                  <from>
                    <xdr:col>2</xdr:col>
                    <xdr:colOff>342900</xdr:colOff>
                    <xdr:row>22</xdr:row>
                    <xdr:rowOff>180975</xdr:rowOff>
                  </from>
                  <to>
                    <xdr:col>2</xdr:col>
                    <xdr:colOff>647700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 moveWithCells="1">
                  <from>
                    <xdr:col>2</xdr:col>
                    <xdr:colOff>342900</xdr:colOff>
                    <xdr:row>23</xdr:row>
                    <xdr:rowOff>180975</xdr:rowOff>
                  </from>
                  <to>
                    <xdr:col>2</xdr:col>
                    <xdr:colOff>647700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Distance</vt:lpstr>
      <vt:lpstr>Find&amp;Search</vt:lpstr>
      <vt:lpstr>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2021-07-09T03:15:36Z</dcterms:created>
  <dcterms:modified xsi:type="dcterms:W3CDTF">2021-08-03T14:23:29Z</dcterms:modified>
</cp:coreProperties>
</file>